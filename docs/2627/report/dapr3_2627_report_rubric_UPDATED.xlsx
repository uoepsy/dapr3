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king34\Downloads\"/>
    </mc:Choice>
  </mc:AlternateContent>
  <xr:revisionPtr revIDLastSave="0" documentId="8_{184FB447-C719-4B05-B509-F8BC3F0991D5}" xr6:coauthVersionLast="47" xr6:coauthVersionMax="47" xr10:uidLastSave="{00000000-0000-0000-0000-000000000000}"/>
  <bookViews>
    <workbookView xWindow="-120" yWindow="-120" windowWidth="29040" windowHeight="15720" firstSheet="1" activeTab="1" xr2:uid="{80E36928-E358-2446-BA2E-DC98679EB28E}"/>
    <workbookView xWindow="-120" yWindow="-120" windowWidth="29040" windowHeight="15720" xr2:uid="{6478FE4C-0DDA-3A4B-B07C-63BB646B301E}"/>
  </bookViews>
  <sheets>
    <sheet name="RUBRIC" sheetId="1" r:id="rId1"/>
    <sheet name="GRADE" sheetId="2" r:id="rId2"/>
    <sheet name="JK_corpus_crew" sheetId="6" state="hidden" r:id="rId3"/>
    <sheet name="JK_get_score" sheetId="7" state="hidden" r:id="rId4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C2" i="2"/>
  <c r="D2" i="2"/>
  <c r="C3" i="2"/>
  <c r="D3" i="2"/>
  <c r="C4" i="2"/>
  <c r="D4" i="2"/>
  <c r="C5" i="2"/>
  <c r="D5" i="2"/>
  <c r="F2" i="2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3" i="1"/>
  <c r="G2" i="1"/>
  <c r="G4" i="1"/>
  <c r="C6" i="7"/>
  <c r="D6" i="7"/>
  <c r="C5" i="7"/>
  <c r="D5" i="7"/>
  <c r="C3" i="7"/>
  <c r="D3" i="7"/>
  <c r="C2" i="7"/>
  <c r="D2" i="7"/>
  <c r="B8" i="7"/>
  <c r="M21" i="6"/>
  <c r="M20" i="6"/>
  <c r="M19" i="6"/>
  <c r="M18" i="6"/>
  <c r="M17" i="6"/>
  <c r="M16" i="6"/>
  <c r="M15" i="6"/>
  <c r="M14" i="6"/>
  <c r="M13" i="6"/>
  <c r="C4" i="7"/>
  <c r="D4" i="7"/>
  <c r="F2" i="7"/>
  <c r="M12" i="6"/>
  <c r="M11" i="6"/>
  <c r="M10" i="6"/>
  <c r="M9" i="6"/>
  <c r="M8" i="6"/>
  <c r="M7" i="6"/>
  <c r="M6" i="6"/>
  <c r="M5" i="6"/>
  <c r="M4" i="6"/>
  <c r="M3" i="6"/>
  <c r="M2" i="6"/>
</calcChain>
</file>

<file path=xl/sharedStrings.xml><?xml version="1.0" encoding="utf-8"?>
<sst xmlns="http://schemas.openxmlformats.org/spreadsheetml/2006/main" count="176" uniqueCount="81">
  <si>
    <t>Category</t>
  </si>
  <si>
    <t>Specification</t>
  </si>
  <si>
    <t>Clearly evident</t>
  </si>
  <si>
    <t>Mostly evident</t>
  </si>
  <si>
    <t>Minimally / vaguely evident</t>
  </si>
  <si>
    <t>Not yet evident</t>
  </si>
  <si>
    <t>Row checks</t>
  </si>
  <si>
    <t>Translates to</t>
  </si>
  <si>
    <t>Analysis decisions</t>
  </si>
  <si>
    <t>All your contrast coding/transformation decisions are appropriate for your analysis goals.</t>
  </si>
  <si>
    <t>All the assumption/diagnostic checks you conducted are appropriate for your model.</t>
  </si>
  <si>
    <t>You fit a linear model that reasonably represents the data generating process.</t>
  </si>
  <si>
    <t>You correctly identify what significance test(s) and/or model comparison(s) are required to address the RQ(s).</t>
  </si>
  <si>
    <t>Describing analysis</t>
  </si>
  <si>
    <t>Describing results</t>
  </si>
  <si>
    <t>All figures and tables give your reader useful information about your data/analysis.</t>
  </si>
  <si>
    <t>For each relevant estimated quantity, you describe what it means and report its inferential information (e.g., test statistic, CI, and p-value).</t>
  </si>
  <si>
    <t>You clearly and concisely report your model assumption/diagnostic checks (including plots in an appendix, if desired).</t>
  </si>
  <si>
    <t>You use the estimated quantity(ies) from your analysis to accurately address the RQ(s)/hypothesis(es).</t>
  </si>
  <si>
    <t>You correctly interpret the random effect estimates relative to the fixed effect estimates.</t>
  </si>
  <si>
    <t>You clearly and accurately summarise your results and use them to answer the given research question(s).</t>
  </si>
  <si>
    <t>Mechanics</t>
  </si>
  <si>
    <t>Your report is clearly structured and easy to understand.</t>
  </si>
  <si>
    <t>You introduce each figure and table in the text and cross-reference their numbers appropriately (including figures shown in Appendix A).</t>
  </si>
  <si>
    <t>Your report contains no R code.</t>
  </si>
  <si>
    <t>Your code exactly reproduces the analyses, results, and tables/plots you present in the report.</t>
  </si>
  <si>
    <t>Category weight</t>
  </si>
  <si>
    <t>Category sum</t>
  </si>
  <si>
    <t>Category proportion</t>
  </si>
  <si>
    <t>Weighted average</t>
  </si>
  <si>
    <t>To nearest grade band</t>
  </si>
  <si>
    <t>Methods section</t>
  </si>
  <si>
    <t>Results section</t>
  </si>
  <si>
    <t>Conclusion section</t>
  </si>
  <si>
    <t>"Clearly evident" notes</t>
  </si>
  <si>
    <t>"Somewhat evident" notes</t>
  </si>
  <si>
    <t>Somewhat evident</t>
  </si>
  <si>
    <t>"Not yet evident" notes</t>
  </si>
  <si>
    <t>EP notes on specs</t>
  </si>
  <si>
    <t>All the data tidying steps you undertake are appropriate.</t>
  </si>
  <si>
    <t> </t>
  </si>
  <si>
    <t>didn't remove missing?</t>
  </si>
  <si>
    <t xml:space="preserve">And the steps you didn't undertake but should have? :D I think it's fine as-is, this current phrasing will make us focus on what IS there, not what's missing, which is what I want I think </t>
  </si>
  <si>
    <t>fine?</t>
  </si>
  <si>
    <t>plenty</t>
  </si>
  <si>
    <t>not bad. No absdial|spec</t>
  </si>
  <si>
    <t>coefficients</t>
  </si>
  <si>
    <t>?</t>
  </si>
  <si>
    <t>model comp misses target</t>
  </si>
  <si>
    <t>Your data tidying is described accurately, thoroughly, and concisely.</t>
  </si>
  <si>
    <t>weird</t>
  </si>
  <si>
    <t>Your contrast coding/transformations are described accurately, thoroughly, and concisely.</t>
  </si>
  <si>
    <t xml:space="preserve">no mention </t>
  </si>
  <si>
    <t>You clearly describe a process of model building/simplification that led to your final model.</t>
  </si>
  <si>
    <t>no mention</t>
  </si>
  <si>
    <t>Your final model is described accurately, thoroughly, and concisely.</t>
  </si>
  <si>
    <t>slightly unclear</t>
  </si>
  <si>
    <t>You clearly report appropriate descriptive statistics (e.g., in a table or a plot).</t>
  </si>
  <si>
    <t>minimal</t>
  </si>
  <si>
    <t>do we count "plotting the data" as a descriptives plot? I would say yes and include it here, so I would like to adjust the phrasing of this spec to make that clearer</t>
  </si>
  <si>
    <t>simple as main, no explanation of interaction meaning</t>
  </si>
  <si>
    <t>You visualise the model's estimates in a plot.</t>
  </si>
  <si>
    <t>in appendix. just fixef lines</t>
  </si>
  <si>
    <t>plenty here</t>
  </si>
  <si>
    <t>model comp misinterp</t>
  </si>
  <si>
    <t>stated but not explained</t>
  </si>
  <si>
    <t>You clearly, concisely, and accurately use your analysis results to answer the given research question(s).</t>
  </si>
  <si>
    <t>unclear (conclusion doesn’t refer to interaction effects, just to 'category matters')</t>
  </si>
  <si>
    <t>fine</t>
  </si>
  <si>
    <t>yes?</t>
  </si>
  <si>
    <t>none</t>
  </si>
  <si>
    <t>yep</t>
  </si>
  <si>
    <t>You fit a model that reasonably represents the data generating process.</t>
  </si>
  <si>
    <t>You accurately and concisely describe the steps you took to tidy the data</t>
  </si>
  <si>
    <t xml:space="preserve">You accurately and concisely describe and motivate your contrast coding/transformation decisions. </t>
  </si>
  <si>
    <r>
      <t>You accurately and concisely describe your chosen model.</t>
    </r>
    <r>
      <rPr>
        <b/>
        <sz val="12"/>
        <color rgb="FF000000"/>
        <rFont val="Aptos Narrow"/>
      </rPr>
      <t xml:space="preserve"> </t>
    </r>
  </si>
  <si>
    <t>You clearly describe the sample and report appropriate descriptive statistics</t>
  </si>
  <si>
    <t>For each relevant estimated quantity, you describe what it means and report its inferential information (e.g., test statistic, CI or test statistic, df (where appropriate) and p-value).</t>
  </si>
  <si>
    <t>You visualise your key results</t>
  </si>
  <si>
    <t>You introduce each figure and table in the text and cross-reference their numbers appropriately (including figures shown in the Appendix).</t>
  </si>
  <si>
    <t>You accurately interpret the estimated quantity/quantities from your analysis to address each RQ/prediction.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</si>
</sst>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FF0000"/>
      <name val="Aptos Narrow"/>
      <family val="2"/>
    </font>
    <font>
      <sz val="12"/>
      <color rgb="FF000000"/>
      <name val="Aptos Narrow"/>
      <family val="2"/>
      <charset val="1"/>
    </font>
    <font>
      <sz val="12"/>
      <color rgb="FF000000"/>
      <name val="Aptos Narrow"/>
    </font>
    <font>
      <b/>
      <sz val="12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1F0C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1" fillId="2" borderId="0" xfId="1" applyBorder="1"/>
    <xf numFmtId="0" fontId="0" fillId="6" borderId="0" xfId="0" applyFill="1"/>
    <xf numFmtId="0" fontId="0" fillId="5" borderId="0" xfId="0" applyFill="1"/>
    <xf numFmtId="0" fontId="1" fillId="3" borderId="0" xfId="2" applyBorder="1"/>
    <xf numFmtId="0" fontId="0" fillId="4" borderId="0" xfId="2" applyFont="1" applyFill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7" borderId="0" xfId="2" applyFill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5" fillId="8" borderId="0" xfId="0" applyFont="1" applyFill="1"/>
    <xf numFmtId="0" fontId="6" fillId="8" borderId="0" xfId="0" applyFont="1" applyFill="1"/>
    <xf numFmtId="0" fontId="1" fillId="4" borderId="0" xfId="2" applyFill="1" applyBorder="1"/>
    <xf numFmtId="0" fontId="2" fillId="0" borderId="1" xfId="0" applyFont="1" applyBorder="1" applyAlignment="1">
      <alignment wrapText="1"/>
    </xf>
    <xf numFmtId="0" fontId="1" fillId="2" borderId="1" xfId="1" applyBorder="1"/>
    <xf numFmtId="0" fontId="0" fillId="6" borderId="1" xfId="0" applyFill="1" applyBorder="1"/>
    <xf numFmtId="0" fontId="0" fillId="0" borderId="1" xfId="0" applyBorder="1"/>
    <xf numFmtId="0" fontId="1" fillId="3" borderId="1" xfId="2" applyBorder="1"/>
    <xf numFmtId="0" fontId="1" fillId="7" borderId="1" xfId="2" applyFill="1" applyBorder="1"/>
    <xf numFmtId="0" fontId="1" fillId="4" borderId="1" xfId="2" applyFill="1" applyBorder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0" borderId="0" xfId="0" applyBorder="1"/>
    <xf numFmtId="0" fontId="1" fillId="0" borderId="0" xfId="2" applyFill="1" applyBorder="1"/>
    <xf numFmtId="0" fontId="7" fillId="0" borderId="0" xfId="0" applyFont="1" applyFill="1" applyBorder="1" applyAlignment="1">
      <alignment wrapText="1"/>
    </xf>
  </cellXfs>
  <cellStyles count="3">
    <cellStyle name="20% - Accent1" xfId="1" builtinId="30"/>
    <cellStyle name="20% - Accent2" xfId="2" builtinId="3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F8AD-D668-7A48-9621-5844165D3017}">
  <dimension ref="A1:O18"/>
  <sheetViews>
    <sheetView zoomScale="115" zoomScaleNormal="130" workbookViewId="0">
      <pane ySplit="1" topLeftCell="A2" activePane="bottomLeft" state="frozen"/>
      <selection pane="bottomLeft" activeCell="B28" sqref="B28"/>
    </sheetView>
    <sheetView tabSelected="1" zoomScaleNormal="100" workbookViewId="1">
      <selection activeCell="B13" sqref="B6:B13"/>
    </sheetView>
  </sheetViews>
  <sheetFormatPr defaultColWidth="11" defaultRowHeight="15.75" customHeight="1" x14ac:dyDescent="0.25"/>
  <cols>
    <col min="1" max="1" width="19.25" customWidth="1"/>
    <col min="2" max="2" width="50.625" customWidth="1"/>
    <col min="3" max="3" width="7.125" bestFit="1" customWidth="1"/>
    <col min="4" max="5" width="10.375" bestFit="1" customWidth="1"/>
    <col min="6" max="6" width="7" bestFit="1" customWidth="1"/>
    <col min="7" max="7" width="13.75" customWidth="1"/>
    <col min="8" max="8" width="2.5" customWidth="1"/>
  </cols>
  <sheetData>
    <row r="1" spans="1:15" s="8" customFormat="1" ht="47.25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7"/>
      <c r="I1" s="7" t="s">
        <v>7</v>
      </c>
    </row>
    <row r="2" spans="1:15" ht="31.5" x14ac:dyDescent="0.25">
      <c r="A2" s="18" t="s">
        <v>8</v>
      </c>
      <c r="B2" s="24" t="s">
        <v>9</v>
      </c>
      <c r="C2" s="19"/>
      <c r="D2" s="19"/>
      <c r="E2" s="19"/>
      <c r="F2" s="19"/>
      <c r="G2" s="20" t="str">
        <f t="shared" ref="G2:G18" si="0">IF(COUNT(C2,D2,E2,F2)=2, "More than one entry!", IF(COUNT(C2,D2,E2,F2)=0, "No entries!", ""))</f>
        <v>No entries!</v>
      </c>
      <c r="I2" s="4">
        <f t="shared" ref="I2:I18" si="1">IF($C2=1, 3, IF($D2=1, 2, IF($E2=1, 1, IF($F2 = 1, 0, 0))))</f>
        <v>0</v>
      </c>
    </row>
    <row r="3" spans="1:15" ht="31.5" x14ac:dyDescent="0.25">
      <c r="A3" s="18" t="s">
        <v>8</v>
      </c>
      <c r="B3" s="24" t="s">
        <v>72</v>
      </c>
      <c r="C3" s="19"/>
      <c r="D3" s="19"/>
      <c r="E3" s="19"/>
      <c r="F3" s="19"/>
      <c r="G3" s="20" t="str">
        <f t="shared" si="0"/>
        <v>No entries!</v>
      </c>
      <c r="I3" s="4">
        <f t="shared" si="1"/>
        <v>0</v>
      </c>
    </row>
    <row r="4" spans="1:15" ht="31.5" x14ac:dyDescent="0.25">
      <c r="A4" s="18" t="s">
        <v>8</v>
      </c>
      <c r="B4" s="24" t="s">
        <v>12</v>
      </c>
      <c r="C4" s="19"/>
      <c r="D4" s="19"/>
      <c r="E4" s="19"/>
      <c r="F4" s="19"/>
      <c r="G4" s="20" t="str">
        <f t="shared" si="0"/>
        <v>No entries!</v>
      </c>
      <c r="I4" s="4">
        <f t="shared" si="1"/>
        <v>0</v>
      </c>
    </row>
    <row r="5" spans="1:15" ht="31.5" x14ac:dyDescent="0.25">
      <c r="A5" s="21" t="s">
        <v>13</v>
      </c>
      <c r="B5" s="25" t="s">
        <v>73</v>
      </c>
      <c r="C5" s="19"/>
      <c r="D5" s="19"/>
      <c r="E5" s="19"/>
      <c r="F5" s="19"/>
      <c r="G5" s="20" t="str">
        <f t="shared" si="0"/>
        <v>No entries!</v>
      </c>
      <c r="I5" s="4">
        <f t="shared" si="1"/>
        <v>0</v>
      </c>
      <c r="M5" s="26"/>
      <c r="N5" s="26"/>
      <c r="O5" s="26"/>
    </row>
    <row r="6" spans="1:15" ht="31.5" x14ac:dyDescent="0.25">
      <c r="A6" s="21" t="s">
        <v>13</v>
      </c>
      <c r="B6" s="25" t="s">
        <v>74</v>
      </c>
      <c r="C6" s="19"/>
      <c r="D6" s="19"/>
      <c r="E6" s="19"/>
      <c r="F6" s="19"/>
      <c r="G6" s="20" t="str">
        <f t="shared" si="0"/>
        <v>No entries!</v>
      </c>
      <c r="I6" s="4">
        <f t="shared" si="1"/>
        <v>0</v>
      </c>
      <c r="M6" s="26"/>
      <c r="N6" s="27"/>
      <c r="O6" s="28"/>
    </row>
    <row r="7" spans="1:15" x14ac:dyDescent="0.25">
      <c r="A7" s="21" t="s">
        <v>13</v>
      </c>
      <c r="B7" s="25" t="s">
        <v>75</v>
      </c>
      <c r="C7" s="19"/>
      <c r="D7" s="19"/>
      <c r="E7" s="19"/>
      <c r="F7" s="19"/>
      <c r="G7" s="20" t="str">
        <f t="shared" si="0"/>
        <v>No entries!</v>
      </c>
      <c r="I7" s="4">
        <f t="shared" si="1"/>
        <v>0</v>
      </c>
    </row>
    <row r="8" spans="1:15" ht="31.5" x14ac:dyDescent="0.25">
      <c r="A8" s="22" t="s">
        <v>14</v>
      </c>
      <c r="B8" s="24" t="s">
        <v>76</v>
      </c>
      <c r="C8" s="19"/>
      <c r="D8" s="19"/>
      <c r="E8" s="19"/>
      <c r="F8" s="19"/>
      <c r="G8" s="20" t="str">
        <f t="shared" si="0"/>
        <v>No entries!</v>
      </c>
      <c r="I8" s="4">
        <f t="shared" si="1"/>
        <v>0</v>
      </c>
    </row>
    <row r="9" spans="1:15" ht="31.5" x14ac:dyDescent="0.25">
      <c r="A9" s="22" t="s">
        <v>14</v>
      </c>
      <c r="B9" s="24" t="s">
        <v>15</v>
      </c>
      <c r="C9" s="19"/>
      <c r="D9" s="19"/>
      <c r="E9" s="19"/>
      <c r="F9" s="19"/>
      <c r="G9" s="20" t="str">
        <f t="shared" si="0"/>
        <v>No entries!</v>
      </c>
      <c r="I9" s="4">
        <f t="shared" si="1"/>
        <v>0</v>
      </c>
    </row>
    <row r="10" spans="1:15" ht="63" x14ac:dyDescent="0.25">
      <c r="A10" s="22" t="s">
        <v>14</v>
      </c>
      <c r="B10" s="24" t="s">
        <v>77</v>
      </c>
      <c r="C10" s="19"/>
      <c r="D10" s="19"/>
      <c r="E10" s="19"/>
      <c r="F10" s="19"/>
      <c r="G10" s="20" t="str">
        <f t="shared" si="0"/>
        <v>No entries!</v>
      </c>
      <c r="I10" s="4">
        <f t="shared" si="1"/>
        <v>0</v>
      </c>
    </row>
    <row r="11" spans="1:15" x14ac:dyDescent="0.25">
      <c r="A11" s="22" t="s">
        <v>14</v>
      </c>
      <c r="B11" s="24" t="s">
        <v>78</v>
      </c>
      <c r="C11" s="19"/>
      <c r="D11" s="19"/>
      <c r="E11" s="19"/>
      <c r="F11" s="19"/>
      <c r="G11" s="20" t="str">
        <f t="shared" si="0"/>
        <v>No entries!</v>
      </c>
      <c r="I11" s="4">
        <f t="shared" si="1"/>
        <v>0</v>
      </c>
    </row>
    <row r="12" spans="1:15" ht="31.5" x14ac:dyDescent="0.25">
      <c r="A12" s="22" t="s">
        <v>14</v>
      </c>
      <c r="B12" s="24" t="s">
        <v>80</v>
      </c>
      <c r="C12" s="19"/>
      <c r="D12" s="19"/>
      <c r="E12" s="19"/>
      <c r="F12" s="19"/>
      <c r="G12" s="20" t="str">
        <f t="shared" si="0"/>
        <v>No entries!</v>
      </c>
      <c r="I12" s="4">
        <f t="shared" si="1"/>
        <v>0</v>
      </c>
    </row>
    <row r="13" spans="1:15" ht="31.5" x14ac:dyDescent="0.25">
      <c r="A13" s="22" t="s">
        <v>14</v>
      </c>
      <c r="B13" s="24" t="s">
        <v>19</v>
      </c>
      <c r="C13" s="19"/>
      <c r="D13" s="19"/>
      <c r="E13" s="19"/>
      <c r="F13" s="19"/>
      <c r="G13" s="20" t="str">
        <f t="shared" si="0"/>
        <v>No entries!</v>
      </c>
      <c r="I13" s="4">
        <f t="shared" si="1"/>
        <v>0</v>
      </c>
    </row>
    <row r="14" spans="1:15" ht="31.5" x14ac:dyDescent="0.25">
      <c r="A14" s="22" t="s">
        <v>14</v>
      </c>
      <c r="B14" s="24" t="s">
        <v>20</v>
      </c>
      <c r="C14" s="19"/>
      <c r="D14" s="19"/>
      <c r="E14" s="19"/>
      <c r="F14" s="19"/>
      <c r="G14" s="20" t="str">
        <f t="shared" si="0"/>
        <v>No entries!</v>
      </c>
      <c r="I14" s="4">
        <f t="shared" si="1"/>
        <v>0</v>
      </c>
    </row>
    <row r="15" spans="1:15" x14ac:dyDescent="0.25">
      <c r="A15" s="23" t="s">
        <v>21</v>
      </c>
      <c r="B15" s="24" t="s">
        <v>22</v>
      </c>
      <c r="C15" s="19"/>
      <c r="D15" s="19"/>
      <c r="E15" s="19"/>
      <c r="F15" s="19"/>
      <c r="G15" s="20" t="str">
        <f t="shared" si="0"/>
        <v>No entries!</v>
      </c>
      <c r="I15" s="4">
        <f t="shared" si="1"/>
        <v>0</v>
      </c>
    </row>
    <row r="16" spans="1:15" ht="47.25" x14ac:dyDescent="0.25">
      <c r="A16" s="23" t="s">
        <v>21</v>
      </c>
      <c r="B16" s="24" t="s">
        <v>79</v>
      </c>
      <c r="C16" s="19"/>
      <c r="D16" s="19"/>
      <c r="E16" s="19"/>
      <c r="F16" s="19"/>
      <c r="G16" s="20" t="str">
        <f t="shared" si="0"/>
        <v>No entries!</v>
      </c>
      <c r="I16" s="4">
        <f t="shared" si="1"/>
        <v>0</v>
      </c>
    </row>
    <row r="17" spans="1:9" x14ac:dyDescent="0.25">
      <c r="A17" s="23" t="s">
        <v>21</v>
      </c>
      <c r="B17" s="24" t="s">
        <v>24</v>
      </c>
      <c r="C17" s="19"/>
      <c r="D17" s="19"/>
      <c r="E17" s="19"/>
      <c r="F17" s="19"/>
      <c r="G17" s="20" t="str">
        <f t="shared" si="0"/>
        <v>No entries!</v>
      </c>
      <c r="I17" s="4">
        <f t="shared" si="1"/>
        <v>0</v>
      </c>
    </row>
    <row r="18" spans="1:9" ht="31.5" x14ac:dyDescent="0.25">
      <c r="A18" s="23" t="s">
        <v>21</v>
      </c>
      <c r="B18" s="24" t="s">
        <v>25</v>
      </c>
      <c r="C18" s="19"/>
      <c r="D18" s="19"/>
      <c r="E18" s="19"/>
      <c r="F18" s="19"/>
      <c r="G18" s="20" t="str">
        <f t="shared" si="0"/>
        <v>No entries!</v>
      </c>
      <c r="I18" s="4">
        <f t="shared" si="1"/>
        <v>0</v>
      </c>
    </row>
  </sheetData>
  <conditionalFormatting sqref="G2:G18">
    <cfRule type="notContainsBlanks" dxfId="0" priority="1">
      <formula>LEN(TRIM(G2))&gt;0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94DC-F39D-FA47-81E6-73F58B079A6A}">
  <dimension ref="A1:G5"/>
  <sheetViews>
    <sheetView tabSelected="1" zoomScaleNormal="100" workbookViewId="0">
      <pane ySplit="1" topLeftCell="A2" activePane="bottomLeft" state="frozen"/>
      <selection pane="bottomLeft" activeCell="C35" sqref="C35"/>
    </sheetView>
    <sheetView zoomScale="130" zoomScaleNormal="130" workbookViewId="1">
      <pane ySplit="1" topLeftCell="A2" activePane="bottomLeft" state="frozen"/>
      <selection pane="bottomLeft" activeCell="C2" sqref="C2"/>
    </sheetView>
  </sheetViews>
  <sheetFormatPr defaultColWidth="11" defaultRowHeight="15.75" x14ac:dyDescent="0.25"/>
  <cols>
    <col min="1" max="1" width="16.125" bestFit="1" customWidth="1"/>
    <col min="2" max="2" width="14.125" bestFit="1" customWidth="1"/>
    <col min="3" max="3" width="12.125" bestFit="1" customWidth="1"/>
    <col min="4" max="4" width="17.625" bestFit="1" customWidth="1"/>
    <col min="5" max="5" width="21.125" bestFit="1" customWidth="1"/>
    <col min="6" max="6" width="21.375" customWidth="1"/>
    <col min="7" max="7" width="19.125" bestFit="1" customWidth="1"/>
  </cols>
  <sheetData>
    <row r="1" spans="1:7" s="1" customFormat="1" x14ac:dyDescent="0.25">
      <c r="A1" s="1" t="s">
        <v>0</v>
      </c>
      <c r="B1" s="1" t="s">
        <v>26</v>
      </c>
      <c r="C1" s="1" t="s">
        <v>27</v>
      </c>
      <c r="D1" s="1" t="s">
        <v>28</v>
      </c>
      <c r="F1" s="1" t="s">
        <v>29</v>
      </c>
      <c r="G1" s="1" t="s">
        <v>30</v>
      </c>
    </row>
    <row r="2" spans="1:7" x14ac:dyDescent="0.25">
      <c r="A2" s="2" t="s">
        <v>8</v>
      </c>
      <c r="B2" s="3">
        <v>0.3</v>
      </c>
      <c r="C2" s="4">
        <f>SUMIF(RUBRIC!A:A, A2, RUBRIC!I:I)</f>
        <v>0</v>
      </c>
      <c r="D2" s="4">
        <f>C2 / (3 * COUNTIF(RUBRIC!$A:$A, $A2))</f>
        <v>0</v>
      </c>
      <c r="F2" s="4">
        <f>((B2 * D2) + (B3 * D3) + (B4 * D4) + (B5 * D5))*100</f>
        <v>0</v>
      </c>
      <c r="G2" s="3"/>
    </row>
    <row r="3" spans="1:7" x14ac:dyDescent="0.25">
      <c r="A3" s="5" t="s">
        <v>13</v>
      </c>
      <c r="B3" s="3">
        <v>0.3</v>
      </c>
      <c r="C3" s="4">
        <f>SUMIF(RUBRIC!A:A, A3, RUBRIC!I:I)</f>
        <v>0</v>
      </c>
      <c r="D3" s="4">
        <f>C3 / (3 * COUNTIF(RUBRIC!$A:$A, $A3))</f>
        <v>0</v>
      </c>
    </row>
    <row r="4" spans="1:7" x14ac:dyDescent="0.25">
      <c r="A4" s="9" t="s">
        <v>14</v>
      </c>
      <c r="B4" s="3">
        <v>0.3</v>
      </c>
      <c r="C4" s="4">
        <f>SUMIF(RUBRIC!A:A, A4, RUBRIC!I:I)</f>
        <v>0</v>
      </c>
      <c r="D4" s="4">
        <f>C4 / (3 * COUNTIF(RUBRIC!$A:$A, $A4))</f>
        <v>0</v>
      </c>
    </row>
    <row r="5" spans="1:7" x14ac:dyDescent="0.25">
      <c r="A5" s="16" t="s">
        <v>21</v>
      </c>
      <c r="B5" s="3">
        <v>0.1</v>
      </c>
      <c r="C5" s="4">
        <f>SUMIF(RUBRIC!A:A, A5, RUBRIC!I:I)</f>
        <v>0</v>
      </c>
      <c r="D5" s="4">
        <f>C5 / (3 * COUNTIF(RUBRIC!$A:$A, $A5))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62989-71FD-4E9C-9096-411DB8E0B184}">
  <dimension ref="A1:O21"/>
  <sheetViews>
    <sheetView zoomScale="115" zoomScaleNormal="130" workbookViewId="0">
      <pane ySplit="1" topLeftCell="A2" activePane="bottomLeft" state="frozen"/>
      <selection pane="bottomLeft" activeCell="B28" sqref="B28"/>
    </sheetView>
    <sheetView zoomScale="120" zoomScaleNormal="120" workbookViewId="1">
      <selection activeCell="D6" sqref="D6"/>
    </sheetView>
  </sheetViews>
  <sheetFormatPr defaultColWidth="11" defaultRowHeight="15.75" customHeight="1" x14ac:dyDescent="0.25"/>
  <cols>
    <col min="1" max="1" width="19.25" customWidth="1"/>
    <col min="2" max="2" width="108.5" customWidth="1"/>
    <col min="3" max="3" width="1.5" customWidth="1"/>
    <col min="4" max="4" width="15" customWidth="1"/>
    <col min="5" max="5" width="7.125" bestFit="1" customWidth="1"/>
    <col min="6" max="6" width="2.375" customWidth="1"/>
    <col min="7" max="7" width="14.625" customWidth="1"/>
    <col min="8" max="8" width="10.375" bestFit="1" customWidth="1"/>
    <col min="9" max="9" width="1.875" customWidth="1"/>
    <col min="10" max="10" width="16.875" customWidth="1"/>
    <col min="11" max="11" width="7" bestFit="1" customWidth="1"/>
    <col min="12" max="12" width="2.5" customWidth="1"/>
    <col min="13" max="13" width="5.125" customWidth="1"/>
    <col min="15" max="15" width="11" style="10"/>
  </cols>
  <sheetData>
    <row r="1" spans="1:15" s="8" customFormat="1" ht="47.25" x14ac:dyDescent="0.25">
      <c r="A1" s="7" t="s">
        <v>0</v>
      </c>
      <c r="B1" s="7" t="s">
        <v>1</v>
      </c>
      <c r="C1" s="7"/>
      <c r="D1" s="7" t="s">
        <v>34</v>
      </c>
      <c r="E1" s="7" t="s">
        <v>2</v>
      </c>
      <c r="F1" s="7"/>
      <c r="G1" s="7" t="s">
        <v>35</v>
      </c>
      <c r="H1" s="7" t="s">
        <v>36</v>
      </c>
      <c r="I1" s="7"/>
      <c r="J1" s="7" t="s">
        <v>37</v>
      </c>
      <c r="K1" s="7" t="s">
        <v>5</v>
      </c>
      <c r="L1" s="7"/>
      <c r="M1" s="7" t="s">
        <v>7</v>
      </c>
      <c r="N1" s="7"/>
      <c r="O1" s="12" t="s">
        <v>38</v>
      </c>
    </row>
    <row r="2" spans="1:15" x14ac:dyDescent="0.25">
      <c r="A2" s="2" t="s">
        <v>8</v>
      </c>
      <c r="B2" t="s">
        <v>39</v>
      </c>
      <c r="D2" s="13"/>
      <c r="E2" s="14" t="s">
        <v>40</v>
      </c>
      <c r="F2" s="13"/>
      <c r="G2" s="13" t="s">
        <v>41</v>
      </c>
      <c r="H2" s="14">
        <v>1</v>
      </c>
      <c r="I2" s="13"/>
      <c r="J2" s="13"/>
      <c r="K2" s="14" t="s">
        <v>40</v>
      </c>
      <c r="M2" s="4">
        <f t="shared" ref="M2:M21" si="0">IF($E2=1, 3, IF($H2=1, 2, IF($K2 = 1, 1, 0)))</f>
        <v>2</v>
      </c>
      <c r="O2" s="10" t="s">
        <v>42</v>
      </c>
    </row>
    <row r="3" spans="1:15" x14ac:dyDescent="0.25">
      <c r="A3" s="2" t="s">
        <v>8</v>
      </c>
      <c r="B3" t="s">
        <v>9</v>
      </c>
      <c r="D3" s="13" t="s">
        <v>43</v>
      </c>
      <c r="E3" s="14">
        <v>1</v>
      </c>
      <c r="F3" s="13"/>
      <c r="G3" s="13"/>
      <c r="H3" s="14" t="s">
        <v>40</v>
      </c>
      <c r="I3" s="13"/>
      <c r="J3" s="13"/>
      <c r="K3" s="14" t="s">
        <v>40</v>
      </c>
      <c r="M3" s="4">
        <f t="shared" si="0"/>
        <v>3</v>
      </c>
    </row>
    <row r="4" spans="1:15" x14ac:dyDescent="0.25">
      <c r="A4" s="2" t="s">
        <v>8</v>
      </c>
      <c r="B4" t="s">
        <v>10</v>
      </c>
      <c r="D4" s="13" t="s">
        <v>44</v>
      </c>
      <c r="E4" s="14">
        <v>1</v>
      </c>
      <c r="F4" s="13"/>
      <c r="G4" s="13"/>
      <c r="H4" s="14" t="s">
        <v>40</v>
      </c>
      <c r="I4" s="13"/>
      <c r="J4" s="13"/>
      <c r="K4" s="14" t="s">
        <v>40</v>
      </c>
      <c r="M4" s="4">
        <f t="shared" si="0"/>
        <v>3</v>
      </c>
    </row>
    <row r="5" spans="1:15" x14ac:dyDescent="0.25">
      <c r="A5" s="2" t="s">
        <v>8</v>
      </c>
      <c r="B5" t="s">
        <v>11</v>
      </c>
      <c r="D5" s="13"/>
      <c r="E5" s="14" t="s">
        <v>40</v>
      </c>
      <c r="F5" s="13"/>
      <c r="G5" s="13" t="s">
        <v>45</v>
      </c>
      <c r="H5" s="14">
        <v>1</v>
      </c>
      <c r="I5" s="13"/>
      <c r="J5" s="13"/>
      <c r="K5" s="14" t="s">
        <v>40</v>
      </c>
      <c r="M5" s="4">
        <f>IF($E5=1, 3, IF($H5=1, 2, IF($K5 = 1, 1, 0)))</f>
        <v>2</v>
      </c>
    </row>
    <row r="6" spans="1:15" x14ac:dyDescent="0.25">
      <c r="A6" s="2" t="s">
        <v>8</v>
      </c>
      <c r="B6" s="11" t="s">
        <v>12</v>
      </c>
      <c r="D6" s="13" t="s">
        <v>46</v>
      </c>
      <c r="E6" s="15" t="s">
        <v>47</v>
      </c>
      <c r="F6" s="13"/>
      <c r="G6" s="13" t="s">
        <v>48</v>
      </c>
      <c r="H6" s="15">
        <v>1</v>
      </c>
      <c r="I6" s="13"/>
      <c r="J6" s="13"/>
      <c r="K6" s="14" t="s">
        <v>40</v>
      </c>
      <c r="M6" s="4">
        <f>IF($E6=1, 3, IF($H6=1, 2, IF($K6 = 1, 1, 0)))</f>
        <v>2</v>
      </c>
    </row>
    <row r="7" spans="1:15" x14ac:dyDescent="0.25">
      <c r="A7" s="5" t="s">
        <v>31</v>
      </c>
      <c r="B7" t="s">
        <v>49</v>
      </c>
      <c r="D7" s="13"/>
      <c r="E7" s="14" t="s">
        <v>40</v>
      </c>
      <c r="F7" s="13"/>
      <c r="G7" s="13" t="s">
        <v>50</v>
      </c>
      <c r="H7" s="14">
        <v>1</v>
      </c>
      <c r="I7" s="13"/>
      <c r="J7" s="13"/>
      <c r="K7" s="14" t="s">
        <v>40</v>
      </c>
      <c r="M7" s="4">
        <f t="shared" si="0"/>
        <v>2</v>
      </c>
    </row>
    <row r="8" spans="1:15" x14ac:dyDescent="0.25">
      <c r="A8" s="5" t="s">
        <v>31</v>
      </c>
      <c r="B8" t="s">
        <v>51</v>
      </c>
      <c r="D8" s="13"/>
      <c r="E8" s="14" t="s">
        <v>40</v>
      </c>
      <c r="F8" s="13"/>
      <c r="G8" s="13"/>
      <c r="H8" s="14" t="s">
        <v>40</v>
      </c>
      <c r="I8" s="13"/>
      <c r="J8" s="13" t="s">
        <v>52</v>
      </c>
      <c r="K8" s="14">
        <v>1</v>
      </c>
      <c r="M8" s="4">
        <f t="shared" si="0"/>
        <v>1</v>
      </c>
    </row>
    <row r="9" spans="1:15" x14ac:dyDescent="0.25">
      <c r="A9" s="5" t="s">
        <v>31</v>
      </c>
      <c r="B9" t="s">
        <v>53</v>
      </c>
      <c r="D9" s="13"/>
      <c r="E9" s="14" t="s">
        <v>40</v>
      </c>
      <c r="F9" s="13"/>
      <c r="G9" s="13"/>
      <c r="H9" s="14" t="s">
        <v>40</v>
      </c>
      <c r="I9" s="13"/>
      <c r="J9" s="13" t="s">
        <v>54</v>
      </c>
      <c r="K9" s="14">
        <v>1</v>
      </c>
      <c r="M9" s="4">
        <f t="shared" si="0"/>
        <v>1</v>
      </c>
    </row>
    <row r="10" spans="1:15" x14ac:dyDescent="0.25">
      <c r="A10" s="5" t="s">
        <v>31</v>
      </c>
      <c r="B10" t="s">
        <v>55</v>
      </c>
      <c r="D10" s="13"/>
      <c r="E10" s="14" t="s">
        <v>40</v>
      </c>
      <c r="F10" s="13"/>
      <c r="G10" s="13" t="s">
        <v>56</v>
      </c>
      <c r="H10" s="14">
        <v>1</v>
      </c>
      <c r="I10" s="13"/>
      <c r="J10" s="13"/>
      <c r="K10" s="14" t="s">
        <v>40</v>
      </c>
      <c r="M10" s="4">
        <f>IF($E10=1, 3, IF($H10=1, 2, IF($K10 = 1, 1, 0)))</f>
        <v>2</v>
      </c>
    </row>
    <row r="11" spans="1:15" x14ac:dyDescent="0.25">
      <c r="A11" s="9" t="s">
        <v>32</v>
      </c>
      <c r="B11" s="11" t="s">
        <v>57</v>
      </c>
      <c r="D11" s="13"/>
      <c r="E11" s="14" t="s">
        <v>40</v>
      </c>
      <c r="F11" s="13"/>
      <c r="G11" s="13" t="s">
        <v>58</v>
      </c>
      <c r="H11" s="14">
        <v>1</v>
      </c>
      <c r="I11" s="13"/>
      <c r="J11" s="13"/>
      <c r="K11" s="14" t="s">
        <v>40</v>
      </c>
      <c r="M11" s="4">
        <f t="shared" si="0"/>
        <v>2</v>
      </c>
      <c r="O11" s="10" t="s">
        <v>59</v>
      </c>
    </row>
    <row r="12" spans="1:15" x14ac:dyDescent="0.25">
      <c r="A12" s="9" t="s">
        <v>32</v>
      </c>
      <c r="B12" t="s">
        <v>16</v>
      </c>
      <c r="D12" s="13"/>
      <c r="E12" s="14" t="s">
        <v>40</v>
      </c>
      <c r="F12" s="13"/>
      <c r="G12" s="13" t="s">
        <v>60</v>
      </c>
      <c r="H12" s="14">
        <v>1</v>
      </c>
      <c r="I12" s="13"/>
      <c r="J12" s="13"/>
      <c r="K12" s="14" t="s">
        <v>40</v>
      </c>
      <c r="M12" s="4">
        <f t="shared" si="0"/>
        <v>2</v>
      </c>
    </row>
    <row r="13" spans="1:15" x14ac:dyDescent="0.25">
      <c r="A13" s="9" t="s">
        <v>32</v>
      </c>
      <c r="B13" t="s">
        <v>61</v>
      </c>
      <c r="D13" s="13"/>
      <c r="E13" s="14" t="s">
        <v>47</v>
      </c>
      <c r="F13" s="13"/>
      <c r="G13" s="13" t="s">
        <v>62</v>
      </c>
      <c r="H13" s="15">
        <v>1</v>
      </c>
      <c r="I13" s="13"/>
      <c r="J13" s="13"/>
      <c r="K13" s="15"/>
      <c r="M13" s="4">
        <f t="shared" si="0"/>
        <v>2</v>
      </c>
    </row>
    <row r="14" spans="1:15" x14ac:dyDescent="0.25">
      <c r="A14" s="9" t="s">
        <v>32</v>
      </c>
      <c r="B14" t="s">
        <v>17</v>
      </c>
      <c r="D14" s="13" t="s">
        <v>63</v>
      </c>
      <c r="E14" s="14">
        <v>1</v>
      </c>
      <c r="F14" s="13"/>
      <c r="G14" s="13"/>
      <c r="H14" s="14" t="s">
        <v>40</v>
      </c>
      <c r="I14" s="13"/>
      <c r="J14" s="13"/>
      <c r="K14" s="14" t="s">
        <v>40</v>
      </c>
      <c r="M14" s="4">
        <f>IF($E14=1, 3, IF($H14=1, 2, IF($K14 = 1, 1, 0)))</f>
        <v>3</v>
      </c>
    </row>
    <row r="15" spans="1:15" x14ac:dyDescent="0.25">
      <c r="A15" s="9" t="s">
        <v>32</v>
      </c>
      <c r="B15" s="11" t="s">
        <v>18</v>
      </c>
      <c r="D15" s="13" t="s">
        <v>46</v>
      </c>
      <c r="E15" s="15" t="s">
        <v>47</v>
      </c>
      <c r="F15" s="13"/>
      <c r="G15" s="13" t="s">
        <v>64</v>
      </c>
      <c r="H15" s="15">
        <v>1</v>
      </c>
      <c r="I15" s="13"/>
      <c r="J15" s="13"/>
      <c r="K15" s="14" t="s">
        <v>40</v>
      </c>
      <c r="M15" s="4">
        <f t="shared" si="0"/>
        <v>2</v>
      </c>
    </row>
    <row r="16" spans="1:15" x14ac:dyDescent="0.25">
      <c r="A16" s="9" t="s">
        <v>32</v>
      </c>
      <c r="B16" s="11" t="s">
        <v>19</v>
      </c>
      <c r="D16" s="13"/>
      <c r="E16" s="14" t="s">
        <v>40</v>
      </c>
      <c r="F16" s="13"/>
      <c r="G16" s="13" t="s">
        <v>65</v>
      </c>
      <c r="H16" s="14">
        <v>1</v>
      </c>
      <c r="I16" s="13"/>
      <c r="J16" s="13"/>
      <c r="K16" s="14" t="s">
        <v>40</v>
      </c>
      <c r="M16" s="4">
        <f t="shared" si="0"/>
        <v>2</v>
      </c>
    </row>
    <row r="17" spans="1:13" x14ac:dyDescent="0.25">
      <c r="A17" s="6" t="s">
        <v>33</v>
      </c>
      <c r="B17" t="s">
        <v>66</v>
      </c>
      <c r="D17" s="13"/>
      <c r="E17" s="14" t="s">
        <v>40</v>
      </c>
      <c r="F17" s="13"/>
      <c r="G17" s="13" t="s">
        <v>67</v>
      </c>
      <c r="H17" s="14">
        <v>1</v>
      </c>
      <c r="I17" s="13"/>
      <c r="J17" s="13"/>
      <c r="K17" s="14" t="s">
        <v>40</v>
      </c>
      <c r="M17" s="4">
        <f t="shared" si="0"/>
        <v>2</v>
      </c>
    </row>
    <row r="18" spans="1:13" x14ac:dyDescent="0.25">
      <c r="A18" s="5" t="s">
        <v>21</v>
      </c>
      <c r="B18" t="s">
        <v>22</v>
      </c>
      <c r="D18" s="13" t="s">
        <v>68</v>
      </c>
      <c r="E18" s="14">
        <v>1</v>
      </c>
      <c r="F18" s="13"/>
      <c r="G18" s="13"/>
      <c r="H18" s="14" t="s">
        <v>40</v>
      </c>
      <c r="I18" s="13"/>
      <c r="J18" s="13"/>
      <c r="K18" s="14" t="s">
        <v>40</v>
      </c>
      <c r="M18" s="4">
        <f t="shared" si="0"/>
        <v>3</v>
      </c>
    </row>
    <row r="19" spans="1:13" x14ac:dyDescent="0.25">
      <c r="A19" s="5" t="s">
        <v>21</v>
      </c>
      <c r="B19" t="s">
        <v>23</v>
      </c>
      <c r="D19" s="13" t="s">
        <v>69</v>
      </c>
      <c r="E19" s="14">
        <v>1</v>
      </c>
      <c r="F19" s="13"/>
      <c r="G19" s="13"/>
      <c r="H19" s="14" t="s">
        <v>40</v>
      </c>
      <c r="I19" s="13"/>
      <c r="J19" s="13"/>
      <c r="K19" s="14" t="s">
        <v>40</v>
      </c>
      <c r="M19" s="4">
        <f t="shared" si="0"/>
        <v>3</v>
      </c>
    </row>
    <row r="20" spans="1:13" x14ac:dyDescent="0.25">
      <c r="A20" s="5" t="s">
        <v>21</v>
      </c>
      <c r="B20" t="s">
        <v>24</v>
      </c>
      <c r="D20" s="13" t="s">
        <v>70</v>
      </c>
      <c r="E20" s="14">
        <v>1</v>
      </c>
      <c r="F20" s="13"/>
      <c r="G20" s="13"/>
      <c r="H20" s="14" t="s">
        <v>40</v>
      </c>
      <c r="I20" s="13"/>
      <c r="J20" s="13"/>
      <c r="K20" s="14" t="s">
        <v>40</v>
      </c>
      <c r="M20" s="4">
        <f t="shared" si="0"/>
        <v>3</v>
      </c>
    </row>
    <row r="21" spans="1:13" x14ac:dyDescent="0.25">
      <c r="A21" s="5" t="s">
        <v>21</v>
      </c>
      <c r="B21" t="s">
        <v>25</v>
      </c>
      <c r="D21" s="13" t="s">
        <v>71</v>
      </c>
      <c r="E21" s="14">
        <v>1</v>
      </c>
      <c r="F21" s="13"/>
      <c r="G21" s="13"/>
      <c r="H21" s="14" t="s">
        <v>40</v>
      </c>
      <c r="I21" s="13"/>
      <c r="J21" s="13"/>
      <c r="K21" s="14" t="s">
        <v>40</v>
      </c>
      <c r="M21" s="4">
        <f t="shared" si="0"/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81F7-0358-4AC1-A121-43620EA03A3D}">
  <dimension ref="A1:G8"/>
  <sheetViews>
    <sheetView zoomScaleNormal="100" workbookViewId="0">
      <pane ySplit="1" topLeftCell="A2" activePane="bottomLeft" state="frozen"/>
      <selection pane="bottomLeft" activeCell="C35" sqref="C35"/>
    </sheetView>
    <sheetView zoomScale="130" zoomScaleNormal="130" workbookViewId="1">
      <pane ySplit="1" topLeftCell="A2" activePane="bottomLeft" state="frozen"/>
      <selection pane="bottomLeft" activeCell="G2" sqref="G2"/>
    </sheetView>
  </sheetViews>
  <sheetFormatPr defaultColWidth="11" defaultRowHeight="15.75" x14ac:dyDescent="0.25"/>
  <cols>
    <col min="1" max="1" width="16.125" bestFit="1" customWidth="1"/>
    <col min="2" max="2" width="14.125" bestFit="1" customWidth="1"/>
    <col min="3" max="3" width="12.125" bestFit="1" customWidth="1"/>
    <col min="4" max="4" width="17.625" bestFit="1" customWidth="1"/>
    <col min="5" max="5" width="21.125" bestFit="1" customWidth="1"/>
    <col min="6" max="6" width="25.625" bestFit="1" customWidth="1"/>
    <col min="7" max="7" width="19.125" bestFit="1" customWidth="1"/>
  </cols>
  <sheetData>
    <row r="1" spans="1:7" s="1" customFormat="1" x14ac:dyDescent="0.25">
      <c r="A1" s="1" t="s">
        <v>0</v>
      </c>
      <c r="B1" s="1" t="s">
        <v>26</v>
      </c>
      <c r="C1" s="1" t="s">
        <v>27</v>
      </c>
      <c r="D1" s="1" t="s">
        <v>28</v>
      </c>
      <c r="F1" s="1" t="s">
        <v>29</v>
      </c>
      <c r="G1" s="1" t="s">
        <v>30</v>
      </c>
    </row>
    <row r="2" spans="1:7" x14ac:dyDescent="0.25">
      <c r="A2" s="2" t="s">
        <v>8</v>
      </c>
      <c r="B2" s="3">
        <v>0.3</v>
      </c>
      <c r="C2" s="4">
        <f>SUMIF(JK_corpus_crew!A:A, A2, JK_corpus_crew!M:M)</f>
        <v>12</v>
      </c>
      <c r="D2" s="4">
        <f>C2 / (3 * COUNTIF(JK_corpus_crew!$A:$A, $A2))</f>
        <v>0.8</v>
      </c>
      <c r="F2" s="4">
        <f>((B2 * D2) + (B3 * D3) + (B4 * D4))*100</f>
        <v>55.666666666666664</v>
      </c>
      <c r="G2" s="3">
        <v>55</v>
      </c>
    </row>
    <row r="3" spans="1:7" x14ac:dyDescent="0.25">
      <c r="A3" s="5" t="s">
        <v>31</v>
      </c>
      <c r="B3" s="3">
        <v>0.2</v>
      </c>
      <c r="C3" s="4">
        <f>SUMIF(JK_corpus_crew!A:A, A3, JK_corpus_crew!M:M)</f>
        <v>6</v>
      </c>
      <c r="D3" s="4">
        <f>C3 / (3 * COUNTIF(JK_corpus_crew!$A:$A, $A3))</f>
        <v>0.5</v>
      </c>
    </row>
    <row r="4" spans="1:7" x14ac:dyDescent="0.25">
      <c r="A4" s="9" t="s">
        <v>32</v>
      </c>
      <c r="B4" s="3">
        <v>0.3</v>
      </c>
      <c r="C4" s="4">
        <f>SUMIF(JK_corpus_crew!A:A, A4, JK_corpus_crew!M:M)</f>
        <v>13</v>
      </c>
      <c r="D4" s="4">
        <f>C4 / (3 * COUNTIF(JK_corpus_crew!$A:$A, $A4))</f>
        <v>0.72222222222222221</v>
      </c>
    </row>
    <row r="5" spans="1:7" x14ac:dyDescent="0.25">
      <c r="A5" s="6" t="s">
        <v>33</v>
      </c>
      <c r="B5" s="3">
        <v>0.1</v>
      </c>
      <c r="C5" s="4">
        <f>SUMIF(JK_corpus_crew!A:A, A5, JK_corpus_crew!M:M)</f>
        <v>2</v>
      </c>
      <c r="D5" s="4">
        <f>C5 / (3 * COUNTIF(JK_corpus_crew!$A:$A, $A5))</f>
        <v>0.66666666666666663</v>
      </c>
    </row>
    <row r="6" spans="1:7" x14ac:dyDescent="0.25">
      <c r="A6" s="5" t="s">
        <v>21</v>
      </c>
      <c r="B6" s="3">
        <v>0.1</v>
      </c>
      <c r="C6" s="4">
        <f>SUMIF(JK_corpus_crew!A:A, A6, JK_corpus_crew!M:M)</f>
        <v>12</v>
      </c>
      <c r="D6" s="4">
        <f>C6 / (3 * COUNTIF(JK_corpus_crew!$A:$A, $A6))</f>
        <v>1</v>
      </c>
    </row>
    <row r="8" spans="1:7" x14ac:dyDescent="0.25">
      <c r="B8" t="str">
        <f>IF(SUM(B2:B6) = 1, "^ sums to 1", "^ doesn't sum to 1!")</f>
        <v>^ sums to 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RUBRIC</vt:lpstr>
      <vt:lpstr>GRADE</vt:lpstr>
      <vt:lpstr>JK_corpus_crew</vt:lpstr>
      <vt:lpstr>JK_get_score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Pankratz</dc:creator>
  <cp:keywords/>
  <dc:description/>
  <cp:lastModifiedBy>Josiah King</cp:lastModifiedBy>
  <cp:revision/>
  <dcterms:created xsi:type="dcterms:W3CDTF">2026-03-30T08:56:29Z</dcterms:created>
  <dcterms:modified xsi:type="dcterms:W3CDTF">2026-10-20T09:04:08Z</dcterms:modified>
  <cp:category/>
  <cp:contentStatus/>
</cp:coreProperties>
</file>